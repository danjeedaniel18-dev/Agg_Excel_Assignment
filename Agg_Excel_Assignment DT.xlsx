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OM\Downloads\"/>
    </mc:Choice>
  </mc:AlternateContent>
  <xr:revisionPtr revIDLastSave="0" documentId="8_{F567B7CF-011B-48D2-A8DD-816AFB291E1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N10" i="4" l="1"/>
  <c r="N8" i="4"/>
  <c r="N6" i="4"/>
  <c r="N4" i="4"/>
  <c r="J17" i="4"/>
  <c r="J16" i="4"/>
  <c r="J15" i="4"/>
  <c r="J14" i="4"/>
  <c r="J13" i="4"/>
  <c r="J8" i="4"/>
  <c r="J7" i="4"/>
  <c r="J6" i="4"/>
  <c r="J5" i="4"/>
  <c r="J4" i="4"/>
  <c r="K9" i="2"/>
  <c r="K8" i="2"/>
  <c r="K7" i="2"/>
  <c r="K6" i="2"/>
  <c r="K5" i="2"/>
  <c r="L20" i="2"/>
  <c r="L18" i="2"/>
  <c r="L16" i="2"/>
  <c r="L14" i="2"/>
  <c r="Q26" i="1"/>
  <c r="Q22" i="1"/>
  <c r="Q20" i="1"/>
  <c r="Q18" i="1"/>
  <c r="Q16" i="1"/>
  <c r="Q14" i="1"/>
  <c r="K4" i="1"/>
  <c r="J20" i="1"/>
  <c r="J12" i="1"/>
  <c r="J24" i="1"/>
  <c r="J23" i="1"/>
  <c r="J22" i="1"/>
  <c r="J21" i="1"/>
  <c r="J16" i="1"/>
  <c r="J15" i="1"/>
  <c r="J13" i="1"/>
  <c r="J14" i="1"/>
  <c r="K6" i="1"/>
  <c r="K5" i="1"/>
</calcChain>
</file>

<file path=xl/sharedStrings.xml><?xml version="1.0" encoding="utf-8"?>
<sst xmlns="http://schemas.openxmlformats.org/spreadsheetml/2006/main" count="366" uniqueCount="119">
  <si>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</si>
  <si>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</si>
  <si>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</si>
  <si>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</si>
  <si>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</si>
  <si>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</si>
  <si>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</si>
  <si>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</si>
  <si>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</si>
  <si>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</si>
  <si>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</si>
  <si>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</si>
  <si>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</si>
  <si>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</si>
  <si>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</si>
  <si>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</si>
  <si>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</si>
  <si>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</si>
  <si>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</si>
  <si>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</si>
  <si>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</si>
  <si>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</si>
  <si>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</si>
  <si>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</si>
  <si>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</si>
  <si>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</si>
  <si>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</si>
  <si>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</si>
  <si>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</si>
  <si>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</si>
  <si>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</si>
  <si>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</si>
  <si>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</si>
  <si>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</si>
  <si>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</si>
  <si>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</si>
  <si>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</si>
  <si>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</si>
  <si>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</si>
  <si>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</si>
  <si>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</si>
  <si>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</si>
  <si>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</si>
  <si>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</si>
  <si>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</si>
  <si>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</si>
  <si>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</si>
  <si>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</si>
  <si>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</si>
  <si>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</si>
  <si>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</si>
  <si>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</si>
  <si>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</si>
  <si>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</si>
  <si>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</si>
  <si>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</si>
  <si>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</si>
  <si>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</si>
  <si>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</si>
  <si>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</si>
  <si>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</si>
  <si>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</si>
  <si>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</si>
  <si>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</si>
  <si>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</si>
  <si>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</si>
  <si>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</si>
  <si>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</si>
  <si>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</si>
  <si>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</si>
  <si>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</si>
  <si>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</si>
  <si>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</si>
  <si>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</si>
  <si>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</si>
  <si>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</si>
  <si>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</si>
  <si>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</si>
  <si>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</si>
  <si>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</si>
  <si>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</si>
  <si>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</si>
  <si>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</si>
  <si>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</si>
  <si>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</si>
  <si>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</si>
  <si>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</si>
  <si>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</si>
  <si>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</si>
  <si>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</si>
  <si>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</si>
  <si>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</si>
  <si>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</si>
  <si>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</si>
  <si>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</si>
  <si>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</si>
  <si>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</si>
  <si>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</si>
  <si>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</si>
  <si>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</si>
  <si>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</si>
  <si>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</si>
  <si>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</si>
  <si>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</si>
  <si>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</si>
  <si>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</si>
  <si>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</si>
  <si>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</si>
  <si>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</si>
  <si>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</si>
  <si>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Q3) Find AvgScore where Subject is Age is less than 25 and FirstName Starts with 'A'</t>
  </si>
  <si>
    <t>Q4) Find AvgScore where Age is between 23 and 25</t>
  </si>
  <si>
    <t>COUNTIF(F2:F21,"SQL")</t>
  </si>
  <si>
    <t>COUNTIF(F2:F21,"Tableau")</t>
  </si>
  <si>
    <t>COUNTIF(F2:F21,"Power BI")</t>
  </si>
  <si>
    <t>COUNTIF(F2:F21,"ML")</t>
  </si>
  <si>
    <t>COUNTIF(F2:F21,"Python")</t>
  </si>
  <si>
    <t>countif</t>
  </si>
  <si>
    <t>COUNT(A2:A21)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</si>
</sst>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1" fillId="4" borderId="2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3" fillId="0" borderId="0" xfId="0" applyFont="1"/>
    <xf numFmtId="0" fontId="3" fillId="7" borderId="2" xfId="0" applyFont="1" applyFill="1" applyBorder="1"/>
    <xf numFmtId="0" fontId="1" fillId="0" borderId="0" xfId="0" applyFont="1" applyAlignment="1">
      <alignment horizontal="center"/>
    </xf>
    <xf numFmtId="0" fontId="1" fillId="8" borderId="2" xfId="0" applyFont="1" applyFill="1" applyBorder="1"/>
    <xf numFmtId="0" fontId="3" fillId="0" borderId="0" xfId="0" applyFont="1" applyAlignment="1">
      <alignment wrapText="1"/>
    </xf>
    <xf numFmtId="0" fontId="5" fillId="10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" fillId="5" borderId="3" xfId="0" applyFont="1" applyFill="1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3" fillId="3" borderId="7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1" fillId="5" borderId="3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" fillId="6" borderId="11" xfId="0" applyFont="1" applyFill="1" applyBorder="1" applyAlignment="1">
      <alignment horizontal="center"/>
    </xf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K13" workbookViewId="0">
      <selection activeCell="W27" sqref="W27"/>
    </sheetView>
  </sheetViews>
  <sheetFormatPr defaultColWidth="14.44140625" defaultRowHeight="15" customHeight="1" x14ac:dyDescent="0.3"/>
  <cols>
    <col min="1" max="5" width="8.6640625" customWidth="1"/>
    <col min="6" max="6" width="11.5546875" customWidth="1"/>
    <col min="7" max="7" width="12.44140625" customWidth="1"/>
    <col min="8" max="8" width="20.88671875" customWidth="1"/>
    <col min="9" max="9" width="11.109375" customWidth="1"/>
    <col min="10" max="10" width="26" customWidth="1"/>
    <col min="11" max="11" width="26.33203125" customWidth="1"/>
    <col min="12" max="12" width="23.44140625" customWidth="1"/>
    <col min="13" max="14" width="8.6640625" customWidth="1"/>
    <col min="15" max="15" width="11.33203125" customWidth="1"/>
    <col min="16" max="26" width="8.664062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 x14ac:dyDescent="0.3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 x14ac:dyDescent="0.3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 x14ac:dyDescent="0.3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f>COUNT(A2:A21)</f>
        <v>20</v>
      </c>
      <c r="L4" s="4" t="s">
        <v>118</v>
      </c>
      <c r="M4" s="24"/>
      <c r="N4" s="25"/>
      <c r="O4" s="25"/>
    </row>
    <row r="5" spans="1:25" ht="14.25" customHeight="1" x14ac:dyDescent="0.3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f>COUNTBLANK(C2:C21)</f>
        <v>2</v>
      </c>
      <c r="L5" s="4" t="s">
        <v>118</v>
      </c>
    </row>
    <row r="6" spans="1:25" ht="14.25" customHeight="1" x14ac:dyDescent="0.3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f>COUNTA(C2:C21)</f>
        <v>18</v>
      </c>
      <c r="L6" s="4" t="s">
        <v>118</v>
      </c>
    </row>
    <row r="7" spans="1:25" ht="14.25" customHeight="1" x14ac:dyDescent="0.3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26" t="s">
        <v>38</v>
      </c>
      <c r="U7" s="25"/>
      <c r="V7" s="25"/>
      <c r="W7" s="25"/>
      <c r="X7" s="25"/>
      <c r="Y7" s="25"/>
    </row>
    <row r="8" spans="1:25" ht="14.25" customHeight="1" x14ac:dyDescent="0.3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/>
      <c r="S8" s="2" t="s">
        <v>41</v>
      </c>
      <c r="T8" s="26" t="s">
        <v>42</v>
      </c>
      <c r="U8" s="25"/>
      <c r="V8" s="25"/>
      <c r="W8" s="25"/>
      <c r="X8" s="25"/>
      <c r="Y8" s="25"/>
    </row>
    <row r="9" spans="1:25" ht="14.25" customHeight="1" x14ac:dyDescent="0.3">
      <c r="A9" s="2">
        <v>128</v>
      </c>
      <c r="B9" s="2" t="s">
        <v>43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44</v>
      </c>
      <c r="Q9" s="2" t="s">
        <v>45</v>
      </c>
      <c r="R9" s="2" t="s">
        <v>46</v>
      </c>
      <c r="S9" s="2" t="s">
        <v>47</v>
      </c>
      <c r="T9" s="2" t="s">
        <v>48</v>
      </c>
      <c r="U9" s="2" t="s">
        <v>49</v>
      </c>
    </row>
    <row r="10" spans="1:25" ht="14.25" customHeight="1" x14ac:dyDescent="0.3">
      <c r="A10" s="2">
        <v>129</v>
      </c>
      <c r="B10" s="2" t="s">
        <v>50</v>
      </c>
      <c r="C10" s="2" t="s">
        <v>51</v>
      </c>
      <c r="D10" s="2">
        <v>25</v>
      </c>
      <c r="E10" s="2" t="s">
        <v>21</v>
      </c>
      <c r="F10" s="2" t="s">
        <v>52</v>
      </c>
      <c r="G10" s="2">
        <v>74</v>
      </c>
      <c r="I10" s="27" t="s">
        <v>53</v>
      </c>
      <c r="J10" s="19"/>
      <c r="K10" s="19"/>
      <c r="L10" s="20"/>
      <c r="O10" s="6" t="s">
        <v>54</v>
      </c>
      <c r="P10" s="2" t="s">
        <v>55</v>
      </c>
    </row>
    <row r="11" spans="1:25" ht="14.25" customHeight="1" x14ac:dyDescent="0.3">
      <c r="A11" s="2">
        <v>130</v>
      </c>
      <c r="B11" s="2" t="s">
        <v>56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57</v>
      </c>
      <c r="K11" s="8" t="s">
        <v>58</v>
      </c>
      <c r="O11" s="22"/>
      <c r="P11" s="19"/>
      <c r="Q11" s="19"/>
      <c r="R11" s="19"/>
      <c r="S11" s="19"/>
      <c r="T11" s="19"/>
      <c r="U11" s="20"/>
    </row>
    <row r="12" spans="1:25" ht="14.25" customHeight="1" x14ac:dyDescent="0.3">
      <c r="A12" s="2">
        <v>131</v>
      </c>
      <c r="B12" s="2" t="s">
        <v>59</v>
      </c>
      <c r="C12" s="2" t="s">
        <v>8</v>
      </c>
      <c r="D12" s="2">
        <v>28</v>
      </c>
      <c r="E12" s="2" t="s">
        <v>21</v>
      </c>
      <c r="F12" s="2" t="s">
        <v>52</v>
      </c>
      <c r="G12" s="2">
        <v>91</v>
      </c>
      <c r="I12" s="2" t="s">
        <v>9</v>
      </c>
      <c r="J12" s="2">
        <f>COUNTIF(E2:E21,"Delhi")</f>
        <v>4</v>
      </c>
      <c r="K12" s="9" t="s">
        <v>117</v>
      </c>
      <c r="O12" s="2"/>
      <c r="Q12" s="4"/>
      <c r="R12" s="4"/>
      <c r="S12" s="4"/>
      <c r="T12" s="4"/>
      <c r="U12" s="4"/>
    </row>
    <row r="13" spans="1:25" ht="14.25" customHeight="1" x14ac:dyDescent="0.3">
      <c r="A13" s="2">
        <v>132</v>
      </c>
      <c r="B13" s="2" t="s">
        <v>60</v>
      </c>
      <c r="C13" s="2" t="s">
        <v>61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>
        <f>COUNTIF(E3:E22,"Mumbai")</f>
        <v>5</v>
      </c>
      <c r="K13" s="9" t="s">
        <v>117</v>
      </c>
      <c r="O13" s="22" t="s">
        <v>62</v>
      </c>
      <c r="P13" s="19"/>
      <c r="Q13" s="19"/>
      <c r="R13" s="19"/>
      <c r="S13" s="19"/>
      <c r="T13" s="19"/>
      <c r="U13" s="20"/>
    </row>
    <row r="14" spans="1:25" ht="14.25" customHeight="1" x14ac:dyDescent="0.3">
      <c r="A14" s="2">
        <v>133</v>
      </c>
      <c r="B14" s="2" t="s">
        <v>63</v>
      </c>
      <c r="C14" s="2" t="s">
        <v>64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>
        <f>COUNTIF(E4:E23,"Noida")</f>
        <v>5</v>
      </c>
      <c r="K14" s="9" t="s">
        <v>117</v>
      </c>
      <c r="O14" s="2"/>
      <c r="Q14" s="21">
        <f>COUNTIF(F2:F21, "Python") + COUNTIF(F2:F21, "ML")</f>
        <v>11</v>
      </c>
      <c r="R14" s="19"/>
      <c r="S14" s="19"/>
      <c r="T14" s="19"/>
      <c r="U14" s="19"/>
      <c r="V14" s="20"/>
    </row>
    <row r="15" spans="1:25" ht="14.25" customHeight="1" x14ac:dyDescent="0.3">
      <c r="A15" s="2">
        <v>134</v>
      </c>
      <c r="B15" s="2" t="s">
        <v>65</v>
      </c>
      <c r="C15" s="2" t="s">
        <v>66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67</v>
      </c>
      <c r="J15" s="2">
        <f>COUNTIF(E2:E21,"Pune")</f>
        <v>2</v>
      </c>
      <c r="K15" s="9" t="s">
        <v>117</v>
      </c>
      <c r="O15" s="22" t="s">
        <v>68</v>
      </c>
      <c r="P15" s="19"/>
      <c r="Q15" s="19"/>
      <c r="R15" s="19"/>
      <c r="S15" s="19"/>
      <c r="T15" s="19"/>
      <c r="U15" s="20"/>
    </row>
    <row r="16" spans="1:25" ht="14.25" customHeight="1" x14ac:dyDescent="0.3">
      <c r="A16" s="2">
        <v>135</v>
      </c>
      <c r="B16" s="2" t="s">
        <v>69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2">
        <f>COUNTIF(E2:E21,"Bangalore")</f>
        <v>4</v>
      </c>
      <c r="K16" s="9" t="s">
        <v>117</v>
      </c>
      <c r="O16" s="2"/>
      <c r="Q16" s="21">
        <f>COUNTIFS(G2:G21, "&gt;80", E2:E21, "&lt;&gt;Delhi")</f>
        <v>3</v>
      </c>
      <c r="R16" s="19"/>
      <c r="S16" s="19"/>
      <c r="T16" s="19"/>
      <c r="U16" s="20"/>
      <c r="V16" s="2"/>
      <c r="W16" s="2"/>
    </row>
    <row r="17" spans="1:25" ht="14.25" customHeight="1" x14ac:dyDescent="0.3">
      <c r="A17" s="2">
        <v>136</v>
      </c>
      <c r="B17" s="2" t="s">
        <v>70</v>
      </c>
      <c r="C17" s="2" t="s">
        <v>71</v>
      </c>
      <c r="D17" s="2">
        <v>25</v>
      </c>
      <c r="E17" s="2" t="s">
        <v>14</v>
      </c>
      <c r="F17" s="2" t="s">
        <v>10</v>
      </c>
      <c r="G17" s="2">
        <v>56</v>
      </c>
      <c r="O17" s="10" t="s">
        <v>72</v>
      </c>
      <c r="P17" s="10"/>
      <c r="Q17" s="10"/>
      <c r="R17" s="10"/>
      <c r="S17" s="10"/>
      <c r="T17" s="10"/>
      <c r="U17" s="10"/>
    </row>
    <row r="18" spans="1:25" ht="14.25" customHeight="1" x14ac:dyDescent="0.3">
      <c r="A18" s="2">
        <v>137</v>
      </c>
      <c r="B18" s="2" t="s">
        <v>73</v>
      </c>
      <c r="C18" s="2" t="s">
        <v>61</v>
      </c>
      <c r="D18" s="2">
        <v>21</v>
      </c>
      <c r="E18" s="2" t="s">
        <v>32</v>
      </c>
      <c r="F18" s="2" t="s">
        <v>27</v>
      </c>
      <c r="G18" s="2">
        <v>49</v>
      </c>
      <c r="I18" s="18" t="s">
        <v>74</v>
      </c>
      <c r="J18" s="19"/>
      <c r="K18" s="20"/>
      <c r="L18" s="11"/>
      <c r="O18" s="2"/>
      <c r="Q18" s="21">
        <f>COUNTIFS(G2:G21, "&gt;=70", G2:G21, "&lt;=80")</f>
        <v>8</v>
      </c>
      <c r="R18" s="19"/>
      <c r="S18" s="19"/>
      <c r="T18" s="19"/>
      <c r="U18" s="20"/>
      <c r="W18" s="3"/>
    </row>
    <row r="19" spans="1:25" ht="14.25" customHeight="1" x14ac:dyDescent="0.3">
      <c r="A19" s="2">
        <v>138</v>
      </c>
      <c r="B19" s="2" t="s">
        <v>75</v>
      </c>
      <c r="C19" s="2" t="s">
        <v>8</v>
      </c>
      <c r="D19" s="2">
        <v>26</v>
      </c>
      <c r="E19" s="2" t="s">
        <v>67</v>
      </c>
      <c r="F19" s="2" t="s">
        <v>10</v>
      </c>
      <c r="G19" s="2">
        <v>73</v>
      </c>
      <c r="I19" s="3" t="s">
        <v>76</v>
      </c>
      <c r="J19" s="3" t="s">
        <v>23</v>
      </c>
      <c r="K19" s="3" t="s">
        <v>77</v>
      </c>
      <c r="O19" s="22" t="s">
        <v>78</v>
      </c>
      <c r="P19" s="19"/>
      <c r="Q19" s="19"/>
      <c r="R19" s="19"/>
      <c r="S19" s="19"/>
      <c r="T19" s="19"/>
      <c r="U19" s="19"/>
      <c r="V19" s="20"/>
      <c r="W19" s="2"/>
      <c r="X19" s="2"/>
    </row>
    <row r="20" spans="1:25" ht="14.25" customHeight="1" x14ac:dyDescent="0.3">
      <c r="A20" s="2">
        <v>139</v>
      </c>
      <c r="B20" s="2" t="s">
        <v>79</v>
      </c>
      <c r="C20" s="2" t="s">
        <v>13</v>
      </c>
      <c r="D20" s="2">
        <v>24</v>
      </c>
      <c r="E20" s="2" t="s">
        <v>67</v>
      </c>
      <c r="F20" s="2" t="s">
        <v>22</v>
      </c>
      <c r="G20" s="2">
        <v>76</v>
      </c>
      <c r="I20" s="2" t="s">
        <v>22</v>
      </c>
      <c r="J20" s="2">
        <f>COUNTIF(F2:F21,"SQL")</f>
        <v>4</v>
      </c>
      <c r="K20" s="2" t="s">
        <v>112</v>
      </c>
      <c r="O20" s="2"/>
      <c r="Q20" s="21">
        <f>COUNTIFS(B2:B21, "A*", G2:G21, "&lt;70")</f>
        <v>4</v>
      </c>
      <c r="R20" s="19"/>
      <c r="S20" s="19"/>
      <c r="T20" s="19"/>
      <c r="U20" s="19"/>
      <c r="V20" s="20"/>
      <c r="W20" s="2"/>
      <c r="X20" s="2"/>
    </row>
    <row r="21" spans="1:25" ht="14.25" customHeight="1" x14ac:dyDescent="0.3">
      <c r="A21" s="2">
        <v>140</v>
      </c>
      <c r="B21" s="2" t="s">
        <v>80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>
        <f>COUNTIF(F2:F21,"Tableau")</f>
        <v>3</v>
      </c>
      <c r="K21" s="2" t="s">
        <v>113</v>
      </c>
      <c r="O21" s="22" t="s">
        <v>81</v>
      </c>
      <c r="P21" s="19"/>
      <c r="Q21" s="19"/>
      <c r="R21" s="19"/>
      <c r="S21" s="19"/>
      <c r="T21" s="19"/>
      <c r="U21" s="20"/>
    </row>
    <row r="22" spans="1:25" ht="14.25" customHeight="1" x14ac:dyDescent="0.3">
      <c r="I22" s="2" t="s">
        <v>52</v>
      </c>
      <c r="J22" s="2">
        <f>COUNTIF(F2:F21,"Power BI")</f>
        <v>2</v>
      </c>
      <c r="K22" s="2" t="s">
        <v>114</v>
      </c>
      <c r="O22" s="2"/>
      <c r="Q22" s="23">
        <f>COUNTIFS(B2:B21, "A*", C2:C21, "*a")</f>
        <v>2</v>
      </c>
      <c r="R22" s="19"/>
      <c r="S22" s="19"/>
      <c r="T22" s="20"/>
    </row>
    <row r="23" spans="1:25" ht="14.25" customHeight="1" x14ac:dyDescent="0.3">
      <c r="I23" s="2" t="s">
        <v>27</v>
      </c>
      <c r="J23" s="2">
        <f>COUNTIF(F2:F21,"ML")</f>
        <v>6</v>
      </c>
      <c r="K23" s="2" t="s">
        <v>115</v>
      </c>
    </row>
    <row r="24" spans="1:25" ht="14.25" customHeight="1" x14ac:dyDescent="0.3">
      <c r="F24" s="2" t="s">
        <v>82</v>
      </c>
      <c r="G24" s="2"/>
      <c r="H24" s="2"/>
      <c r="I24" s="2" t="s">
        <v>10</v>
      </c>
      <c r="J24" s="2">
        <f>COUNTIF(F2:F21,"Python")</f>
        <v>5</v>
      </c>
      <c r="K24" s="2" t="s">
        <v>116</v>
      </c>
    </row>
    <row r="25" spans="1:25" ht="14.25" customHeight="1" x14ac:dyDescent="0.3">
      <c r="F25" s="2" t="s">
        <v>83</v>
      </c>
      <c r="G25" s="2"/>
      <c r="H25" s="2"/>
      <c r="O25" s="22" t="s">
        <v>84</v>
      </c>
      <c r="P25" s="19"/>
      <c r="Q25" s="19"/>
      <c r="R25" s="19"/>
      <c r="S25" s="19"/>
      <c r="T25" s="19"/>
      <c r="U25" s="20"/>
      <c r="V25" s="5"/>
    </row>
    <row r="26" spans="1:25" ht="14.25" customHeight="1" x14ac:dyDescent="0.3">
      <c r="F26" s="2" t="s">
        <v>85</v>
      </c>
      <c r="G26" s="2"/>
      <c r="H26" s="2"/>
      <c r="O26" s="2"/>
      <c r="Q26" s="23">
        <f>COUNTIF(B2:B21, "?????")</f>
        <v>6</v>
      </c>
      <c r="R26" s="19"/>
      <c r="S26" s="20"/>
    </row>
    <row r="27" spans="1:25" ht="14.25" customHeight="1" x14ac:dyDescent="0.3">
      <c r="F27" s="2" t="s">
        <v>86</v>
      </c>
      <c r="G27" s="2"/>
      <c r="H27" s="2"/>
      <c r="I27" s="3" t="s">
        <v>87</v>
      </c>
      <c r="W27" s="2" t="s">
        <v>88</v>
      </c>
      <c r="X27" s="2" t="s">
        <v>44</v>
      </c>
      <c r="Y27" s="2" t="s">
        <v>54</v>
      </c>
    </row>
    <row r="28" spans="1:25" ht="14.25" customHeight="1" x14ac:dyDescent="0.3">
      <c r="F28" s="2" t="s">
        <v>89</v>
      </c>
      <c r="G28" s="2"/>
      <c r="H28" s="2"/>
      <c r="J28" s="4"/>
      <c r="W28" s="2" t="s">
        <v>90</v>
      </c>
      <c r="X28" s="2" t="s">
        <v>91</v>
      </c>
      <c r="Y28" s="2" t="s">
        <v>92</v>
      </c>
    </row>
    <row r="29" spans="1:25" ht="14.25" customHeight="1" x14ac:dyDescent="0.3">
      <c r="J29" s="4"/>
      <c r="W29" s="2" t="s">
        <v>93</v>
      </c>
      <c r="X29" s="2" t="s">
        <v>94</v>
      </c>
      <c r="Y29" s="2" t="s">
        <v>95</v>
      </c>
    </row>
    <row r="30" spans="1:25" ht="14.25" customHeight="1" x14ac:dyDescent="0.3">
      <c r="W30" s="2" t="s">
        <v>96</v>
      </c>
      <c r="X30" s="2" t="s">
        <v>97</v>
      </c>
      <c r="Y30" s="2" t="s">
        <v>98</v>
      </c>
    </row>
    <row r="31" spans="1:25" ht="14.25" customHeight="1" x14ac:dyDescent="0.3">
      <c r="G31" s="2"/>
    </row>
    <row r="32" spans="1:25" ht="14.25" customHeight="1" x14ac:dyDescent="0.3">
      <c r="G32" s="2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G21" xr:uid="{00000000-0009-0000-0000-000000000000}"/>
  <mergeCells count="17">
    <mergeCell ref="M4:O4"/>
    <mergeCell ref="T7:Y7"/>
    <mergeCell ref="T8:Y8"/>
    <mergeCell ref="I10:L10"/>
    <mergeCell ref="O11:U11"/>
    <mergeCell ref="O13:U13"/>
    <mergeCell ref="Q14:V14"/>
    <mergeCell ref="Q22:T22"/>
    <mergeCell ref="O25:U25"/>
    <mergeCell ref="Q26:S26"/>
    <mergeCell ref="O15:U15"/>
    <mergeCell ref="Q16:U16"/>
    <mergeCell ref="I18:K18"/>
    <mergeCell ref="Q18:U18"/>
    <mergeCell ref="O19:V19"/>
    <mergeCell ref="Q20:V20"/>
    <mergeCell ref="O21:U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H22" sqref="H22:I22"/>
    </sheetView>
  </sheetViews>
  <sheetFormatPr defaultColWidth="14.44140625" defaultRowHeight="15" customHeight="1" x14ac:dyDescent="0.3"/>
  <cols>
    <col min="1" max="10" width="8.6640625" customWidth="1"/>
    <col min="11" max="11" width="13.6640625" customWidth="1"/>
    <col min="12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 x14ac:dyDescent="0.3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91</v>
      </c>
    </row>
    <row r="3" spans="1:16" ht="14.25" customHeight="1" x14ac:dyDescent="0.3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29" t="s">
        <v>99</v>
      </c>
      <c r="K3" s="30"/>
      <c r="L3" s="31"/>
    </row>
    <row r="4" spans="1:16" ht="14.25" customHeight="1" x14ac:dyDescent="0.3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76</v>
      </c>
      <c r="K4" s="8" t="s">
        <v>100</v>
      </c>
      <c r="L4" s="32" t="s">
        <v>101</v>
      </c>
      <c r="M4" s="33"/>
    </row>
    <row r="5" spans="1:16" ht="14.25" customHeight="1" x14ac:dyDescent="0.3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K5">
        <f>SUMIF(F2:F21, "Python", G2:G21)</f>
        <v>349</v>
      </c>
      <c r="L5" s="9"/>
      <c r="M5" s="9"/>
      <c r="N5" s="9"/>
      <c r="O5" s="9"/>
    </row>
    <row r="6" spans="1:16" ht="14.25" customHeight="1" x14ac:dyDescent="0.3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K6">
        <f>SUMIF(F2:F21,"ML",G2:G21)</f>
        <v>398</v>
      </c>
      <c r="L6" s="13"/>
      <c r="M6" s="13"/>
      <c r="N6" s="13"/>
      <c r="O6" s="13"/>
    </row>
    <row r="7" spans="1:16" ht="14.25" customHeight="1" x14ac:dyDescent="0.3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52</v>
      </c>
      <c r="K7">
        <f>SUMIF(F2:F21,"Power BI",G2:G21)</f>
        <v>165</v>
      </c>
      <c r="L7" s="13"/>
      <c r="M7" s="13"/>
      <c r="N7" s="13"/>
      <c r="O7" s="13"/>
    </row>
    <row r="8" spans="1:16" ht="14.25" customHeight="1" x14ac:dyDescent="0.3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K8">
        <f>SUMIF(F2:F21,"SQL",G2:G21)</f>
        <v>308</v>
      </c>
      <c r="L8" s="13"/>
      <c r="M8" s="13"/>
      <c r="N8" s="13"/>
      <c r="O8" s="13"/>
    </row>
    <row r="9" spans="1:16" ht="14.25" customHeight="1" x14ac:dyDescent="0.3">
      <c r="A9" s="2">
        <v>128</v>
      </c>
      <c r="B9" s="2" t="s">
        <v>43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K9">
        <f>SUMIF(F2:F21,"Tableau",G2:G21)</f>
        <v>222</v>
      </c>
      <c r="L9" s="13"/>
      <c r="M9" s="13"/>
      <c r="N9" s="13"/>
      <c r="O9" s="13"/>
    </row>
    <row r="10" spans="1:16" ht="14.25" customHeight="1" x14ac:dyDescent="0.3">
      <c r="A10" s="2">
        <v>129</v>
      </c>
      <c r="B10" s="2" t="s">
        <v>50</v>
      </c>
      <c r="C10" s="2" t="s">
        <v>51</v>
      </c>
      <c r="D10" s="2">
        <v>25</v>
      </c>
      <c r="E10" s="2" t="s">
        <v>21</v>
      </c>
      <c r="F10" s="2" t="s">
        <v>52</v>
      </c>
      <c r="G10" s="2">
        <v>74</v>
      </c>
    </row>
    <row r="11" spans="1:16" ht="14.25" customHeight="1" x14ac:dyDescent="0.3">
      <c r="A11" s="2">
        <v>130</v>
      </c>
      <c r="B11" s="2" t="s">
        <v>56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 x14ac:dyDescent="0.3">
      <c r="A12" s="2">
        <v>131</v>
      </c>
      <c r="B12" s="2" t="s">
        <v>59</v>
      </c>
      <c r="C12" s="2" t="s">
        <v>8</v>
      </c>
      <c r="D12" s="2">
        <v>28</v>
      </c>
      <c r="E12" s="2" t="s">
        <v>21</v>
      </c>
      <c r="F12" s="2" t="s">
        <v>52</v>
      </c>
      <c r="G12" s="2">
        <v>91</v>
      </c>
      <c r="J12" s="6" t="s">
        <v>92</v>
      </c>
      <c r="K12" s="2" t="s">
        <v>102</v>
      </c>
    </row>
    <row r="13" spans="1:16" ht="14.25" customHeight="1" x14ac:dyDescent="0.3">
      <c r="A13" s="2">
        <v>132</v>
      </c>
      <c r="B13" s="2" t="s">
        <v>60</v>
      </c>
      <c r="C13" s="2" t="s">
        <v>61</v>
      </c>
      <c r="D13" s="2">
        <v>26</v>
      </c>
      <c r="E13" s="2" t="s">
        <v>32</v>
      </c>
      <c r="F13" s="2" t="s">
        <v>27</v>
      </c>
      <c r="G13" s="2">
        <v>72</v>
      </c>
      <c r="J13" s="28" t="s">
        <v>103</v>
      </c>
      <c r="K13" s="19"/>
      <c r="L13" s="19"/>
      <c r="M13" s="19"/>
      <c r="N13" s="19"/>
      <c r="O13" s="19"/>
      <c r="P13" s="20"/>
    </row>
    <row r="14" spans="1:16" ht="14.25" customHeight="1" x14ac:dyDescent="0.3">
      <c r="A14" s="2">
        <v>133</v>
      </c>
      <c r="B14" s="2" t="s">
        <v>63</v>
      </c>
      <c r="C14" s="2" t="s">
        <v>64</v>
      </c>
      <c r="D14" s="2">
        <v>23</v>
      </c>
      <c r="E14" s="2" t="s">
        <v>9</v>
      </c>
      <c r="F14" s="2" t="s">
        <v>22</v>
      </c>
      <c r="G14" s="2">
        <v>87</v>
      </c>
      <c r="L14" s="21">
        <f>SUMIFS(G2:G21, E2:E21, "Mumbai", F2:F21, "ML")</f>
        <v>115</v>
      </c>
      <c r="M14" s="19"/>
      <c r="N14" s="19"/>
      <c r="O14" s="19"/>
      <c r="P14" s="20"/>
    </row>
    <row r="15" spans="1:16" ht="14.25" customHeight="1" x14ac:dyDescent="0.3">
      <c r="A15" s="2">
        <v>134</v>
      </c>
      <c r="B15" s="2" t="s">
        <v>65</v>
      </c>
      <c r="C15" s="2" t="s">
        <v>66</v>
      </c>
      <c r="D15" s="2">
        <v>22</v>
      </c>
      <c r="E15" s="2" t="s">
        <v>21</v>
      </c>
      <c r="F15" s="2" t="s">
        <v>15</v>
      </c>
      <c r="G15" s="2">
        <v>79</v>
      </c>
      <c r="J15" s="28" t="s">
        <v>104</v>
      </c>
      <c r="K15" s="19"/>
      <c r="L15" s="19"/>
      <c r="M15" s="19"/>
      <c r="N15" s="19"/>
      <c r="O15" s="19"/>
      <c r="P15" s="20"/>
    </row>
    <row r="16" spans="1:16" ht="14.25" customHeight="1" x14ac:dyDescent="0.3">
      <c r="A16" s="2">
        <v>135</v>
      </c>
      <c r="B16" s="2" t="s">
        <v>69</v>
      </c>
      <c r="D16" s="2">
        <v>24</v>
      </c>
      <c r="E16" s="2" t="s">
        <v>9</v>
      </c>
      <c r="F16" s="2" t="s">
        <v>27</v>
      </c>
      <c r="G16" s="2">
        <v>81</v>
      </c>
      <c r="L16" s="21">
        <f>SUMIFS(G2:G21, E2:E21, "Pune", G2:G21, "&lt;80")</f>
        <v>149</v>
      </c>
      <c r="M16" s="19"/>
      <c r="N16" s="19"/>
      <c r="O16" s="19"/>
      <c r="P16" s="20"/>
    </row>
    <row r="17" spans="1:18" ht="14.25" customHeight="1" x14ac:dyDescent="0.3">
      <c r="A17" s="2">
        <v>136</v>
      </c>
      <c r="B17" s="2" t="s">
        <v>70</v>
      </c>
      <c r="C17" s="2" t="s">
        <v>71</v>
      </c>
      <c r="D17" s="2">
        <v>25</v>
      </c>
      <c r="E17" s="2" t="s">
        <v>14</v>
      </c>
      <c r="F17" s="2" t="s">
        <v>10</v>
      </c>
      <c r="G17" s="2">
        <v>56</v>
      </c>
      <c r="J17" s="28" t="s">
        <v>105</v>
      </c>
      <c r="K17" s="19"/>
      <c r="L17" s="19"/>
      <c r="M17" s="19"/>
      <c r="N17" s="19"/>
      <c r="O17" s="19"/>
      <c r="P17" s="20"/>
    </row>
    <row r="18" spans="1:18" ht="14.25" customHeight="1" x14ac:dyDescent="0.3">
      <c r="A18" s="2">
        <v>137</v>
      </c>
      <c r="B18" s="2" t="s">
        <v>73</v>
      </c>
      <c r="C18" s="2" t="s">
        <v>61</v>
      </c>
      <c r="D18" s="2">
        <v>21</v>
      </c>
      <c r="E18" s="2" t="s">
        <v>32</v>
      </c>
      <c r="F18" s="2" t="s">
        <v>27</v>
      </c>
      <c r="G18" s="2">
        <v>49</v>
      </c>
      <c r="L18" s="21">
        <f>SUMIFS(G2:G21, C2:C21, "*a", F2:F21, "ML")</f>
        <v>68</v>
      </c>
      <c r="M18" s="19"/>
      <c r="N18" s="19"/>
      <c r="O18" s="19"/>
      <c r="P18" s="20"/>
    </row>
    <row r="19" spans="1:18" ht="14.25" customHeight="1" x14ac:dyDescent="0.3">
      <c r="A19" s="2">
        <v>138</v>
      </c>
      <c r="B19" s="2" t="s">
        <v>75</v>
      </c>
      <c r="C19" s="2" t="s">
        <v>8</v>
      </c>
      <c r="D19" s="2">
        <v>26</v>
      </c>
      <c r="E19" s="2" t="s">
        <v>67</v>
      </c>
      <c r="F19" s="2" t="s">
        <v>10</v>
      </c>
      <c r="G19" s="2">
        <v>73</v>
      </c>
      <c r="J19" s="28" t="s">
        <v>106</v>
      </c>
      <c r="K19" s="19"/>
      <c r="L19" s="19"/>
      <c r="M19" s="19"/>
      <c r="N19" s="19"/>
      <c r="O19" s="19"/>
      <c r="P19" s="20"/>
    </row>
    <row r="20" spans="1:18" ht="14.25" customHeight="1" x14ac:dyDescent="0.3">
      <c r="A20" s="2">
        <v>139</v>
      </c>
      <c r="B20" s="2" t="s">
        <v>79</v>
      </c>
      <c r="C20" s="2" t="s">
        <v>13</v>
      </c>
      <c r="D20" s="2">
        <v>24</v>
      </c>
      <c r="E20" s="2" t="s">
        <v>67</v>
      </c>
      <c r="F20" s="2" t="s">
        <v>22</v>
      </c>
      <c r="G20" s="2">
        <v>76</v>
      </c>
      <c r="L20" s="21">
        <f>SUMIF(F2:F21, "Python", G2:G21) + SUMIF(F2:F21, "ML", G2:G21)</f>
        <v>747</v>
      </c>
      <c r="M20" s="19"/>
      <c r="N20" s="19"/>
      <c r="O20" s="19"/>
      <c r="P20" s="19"/>
      <c r="Q20" s="19"/>
      <c r="R20" s="20"/>
    </row>
    <row r="21" spans="1:18" ht="14.25" customHeight="1" x14ac:dyDescent="0.3">
      <c r="A21" s="2">
        <v>140</v>
      </c>
      <c r="B21" s="2" t="s">
        <v>80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</row>
    <row r="22" spans="1:18" ht="14.25" customHeight="1" x14ac:dyDescent="0.3">
      <c r="H22" s="23"/>
      <c r="I22" s="20"/>
    </row>
    <row r="23" spans="1:18" ht="14.25" customHeight="1" x14ac:dyDescent="0.3"/>
    <row r="24" spans="1:18" ht="14.25" customHeight="1" x14ac:dyDescent="0.3"/>
    <row r="25" spans="1:18" ht="14.25" customHeight="1" x14ac:dyDescent="0.3"/>
    <row r="26" spans="1:18" ht="14.25" customHeight="1" x14ac:dyDescent="0.3"/>
    <row r="27" spans="1:18" ht="14.25" customHeight="1" x14ac:dyDescent="0.3"/>
    <row r="28" spans="1:18" ht="14.25" customHeight="1" x14ac:dyDescent="0.3"/>
    <row r="29" spans="1:18" ht="14.25" customHeight="1" x14ac:dyDescent="0.3"/>
    <row r="30" spans="1:18" ht="14.25" customHeight="1" x14ac:dyDescent="0.3"/>
    <row r="31" spans="1:18" ht="14.25" customHeight="1" x14ac:dyDescent="0.3"/>
    <row r="32" spans="1:1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1"/>
  <sheetViews>
    <sheetView tabSelected="1" workbookViewId="0">
      <selection activeCell="J22" sqref="J22"/>
    </sheetView>
  </sheetViews>
  <sheetFormatPr defaultColWidth="14.44140625" defaultRowHeight="15" customHeight="1" x14ac:dyDescent="0.3"/>
  <sheetData>
    <row r="1" spans="1:14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4" x14ac:dyDescent="0.3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</row>
    <row r="3" spans="1:14" x14ac:dyDescent="0.3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107</v>
      </c>
      <c r="M3" s="2" t="s">
        <v>108</v>
      </c>
    </row>
    <row r="4" spans="1:14" x14ac:dyDescent="0.3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  <c r="J4">
        <f>AVERAGEIF(E2:E21, "Mumbai", G2:G21)</f>
        <v>63.4</v>
      </c>
      <c r="N4">
        <f>AVERAGEIFS(G2:G21, E2:E21, "Delhi", D2:D21, "&gt;22")</f>
        <v>83</v>
      </c>
    </row>
    <row r="5" spans="1:14" x14ac:dyDescent="0.3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J5">
        <f>AVERAGEIF(E2:E21, "Delhi", G2:G21)</f>
        <v>76</v>
      </c>
      <c r="M5" s="2" t="s">
        <v>109</v>
      </c>
    </row>
    <row r="6" spans="1:14" x14ac:dyDescent="0.3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  <c r="J6">
        <f>AVERAGEIF(E2:E21, "Noida", G2:G21)</f>
        <v>79.400000000000006</v>
      </c>
      <c r="N6">
        <f>AVERAGEIFS(G2:G21, E2:E21, "*i", F2:F21, "ML")</f>
        <v>69.25</v>
      </c>
    </row>
    <row r="7" spans="1:14" x14ac:dyDescent="0.3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J7">
        <f>AVERAGEIF(E2:E21, "Bangalore", G2:G21)</f>
        <v>68.75</v>
      </c>
      <c r="M7" s="2" t="s">
        <v>110</v>
      </c>
    </row>
    <row r="8" spans="1:14" x14ac:dyDescent="0.3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67</v>
      </c>
      <c r="J8">
        <f>AVERAGEIF(E2:E21, "Pune", G2:G21)</f>
        <v>74.5</v>
      </c>
      <c r="N8">
        <f>AVERAGEIFS(G2:G21, D2:D21, "&lt;25", B2:B21, "A*")</f>
        <v>66.666666666666671</v>
      </c>
    </row>
    <row r="9" spans="1:14" x14ac:dyDescent="0.3">
      <c r="A9" s="15">
        <v>128</v>
      </c>
      <c r="B9" s="16" t="s">
        <v>43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M9" s="2" t="s">
        <v>111</v>
      </c>
    </row>
    <row r="10" spans="1:14" x14ac:dyDescent="0.3">
      <c r="A10" s="15">
        <v>129</v>
      </c>
      <c r="B10" s="16" t="s">
        <v>50</v>
      </c>
      <c r="C10" s="16" t="s">
        <v>51</v>
      </c>
      <c r="D10" s="15">
        <v>25</v>
      </c>
      <c r="E10" s="16" t="s">
        <v>21</v>
      </c>
      <c r="F10" s="16" t="s">
        <v>52</v>
      </c>
      <c r="G10" s="15">
        <v>74</v>
      </c>
      <c r="N10">
        <f>AVERAGEIFS(G2:G21, D2:D21, "&gt;=23", D2:D21, "&lt;=25")</f>
        <v>75.666666666666671</v>
      </c>
    </row>
    <row r="11" spans="1:14" x14ac:dyDescent="0.3">
      <c r="A11" s="15">
        <v>130</v>
      </c>
      <c r="B11" s="16" t="s">
        <v>56</v>
      </c>
      <c r="C11" s="16"/>
      <c r="D11" s="15">
        <v>27</v>
      </c>
      <c r="E11" s="16" t="s">
        <v>14</v>
      </c>
      <c r="F11" s="16" t="s">
        <v>27</v>
      </c>
      <c r="G11" s="15">
        <v>47</v>
      </c>
    </row>
    <row r="12" spans="1:14" x14ac:dyDescent="0.3">
      <c r="A12" s="15">
        <v>131</v>
      </c>
      <c r="B12" s="16" t="s">
        <v>59</v>
      </c>
      <c r="C12" s="16" t="s">
        <v>8</v>
      </c>
      <c r="D12" s="15">
        <v>28</v>
      </c>
      <c r="E12" s="16" t="s">
        <v>21</v>
      </c>
      <c r="F12" s="16" t="s">
        <v>52</v>
      </c>
      <c r="G12" s="15">
        <v>91</v>
      </c>
      <c r="I12" s="17" t="s">
        <v>5</v>
      </c>
      <c r="J12" s="17" t="s">
        <v>107</v>
      </c>
    </row>
    <row r="13" spans="1:14" x14ac:dyDescent="0.3">
      <c r="A13" s="15">
        <v>132</v>
      </c>
      <c r="B13" s="16" t="s">
        <v>60</v>
      </c>
      <c r="C13" s="16" t="s">
        <v>61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  <c r="J13">
        <f>AVERAGEIF(F2:F21, "Python", G2:G21)</f>
        <v>69.8</v>
      </c>
    </row>
    <row r="14" spans="1:14" x14ac:dyDescent="0.3">
      <c r="A14" s="15">
        <v>133</v>
      </c>
      <c r="B14" s="16" t="s">
        <v>63</v>
      </c>
      <c r="C14" s="16" t="s">
        <v>64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  <c r="J14">
        <f>AVERAGEIF(F2:F21, "Tableau", G2:G21)</f>
        <v>74</v>
      </c>
    </row>
    <row r="15" spans="1:14" x14ac:dyDescent="0.3">
      <c r="A15" s="15">
        <v>134</v>
      </c>
      <c r="B15" s="16" t="s">
        <v>65</v>
      </c>
      <c r="C15" s="16" t="s">
        <v>66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  <c r="J15">
        <f>AVERAGEIF(F2:F21, "SQL", G2:G21)</f>
        <v>77</v>
      </c>
    </row>
    <row r="16" spans="1:14" x14ac:dyDescent="0.3">
      <c r="A16" s="15">
        <v>135</v>
      </c>
      <c r="B16" s="16" t="s">
        <v>69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  <c r="J16">
        <f>AVERAGEIF(F2:F21, "ML", G2:G21)</f>
        <v>66.333333333333329</v>
      </c>
    </row>
    <row r="17" spans="1:10" x14ac:dyDescent="0.3">
      <c r="A17" s="15">
        <v>136</v>
      </c>
      <c r="B17" s="16" t="s">
        <v>70</v>
      </c>
      <c r="C17" s="16" t="s">
        <v>71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52</v>
      </c>
      <c r="J17">
        <f>AVERAGEIF(F2:F21, "Power BI", G2:G21)</f>
        <v>82.5</v>
      </c>
    </row>
    <row r="18" spans="1:10" x14ac:dyDescent="0.3">
      <c r="A18" s="15">
        <v>137</v>
      </c>
      <c r="B18" s="16" t="s">
        <v>73</v>
      </c>
      <c r="C18" s="16" t="s">
        <v>61</v>
      </c>
      <c r="D18" s="15">
        <v>21</v>
      </c>
      <c r="E18" s="16" t="s">
        <v>32</v>
      </c>
      <c r="F18" s="16" t="s">
        <v>27</v>
      </c>
      <c r="G18" s="15">
        <v>49</v>
      </c>
    </row>
    <row r="19" spans="1:10" x14ac:dyDescent="0.3">
      <c r="A19" s="15">
        <v>138</v>
      </c>
      <c r="B19" s="16" t="s">
        <v>75</v>
      </c>
      <c r="C19" s="16" t="s">
        <v>8</v>
      </c>
      <c r="D19" s="15">
        <v>26</v>
      </c>
      <c r="E19" s="16" t="s">
        <v>67</v>
      </c>
      <c r="F19" s="16" t="s">
        <v>10</v>
      </c>
      <c r="G19" s="15">
        <v>73</v>
      </c>
    </row>
    <row r="20" spans="1:10" x14ac:dyDescent="0.3">
      <c r="A20" s="15">
        <v>139</v>
      </c>
      <c r="B20" s="16" t="s">
        <v>79</v>
      </c>
      <c r="C20" s="16" t="s">
        <v>13</v>
      </c>
      <c r="D20" s="15">
        <v>24</v>
      </c>
      <c r="E20" s="16" t="s">
        <v>67</v>
      </c>
      <c r="F20" s="16" t="s">
        <v>22</v>
      </c>
      <c r="G20" s="15">
        <v>76</v>
      </c>
    </row>
    <row r="21" spans="1:10" x14ac:dyDescent="0.3">
      <c r="A21" s="15">
        <v>140</v>
      </c>
      <c r="B21" s="16" t="s">
        <v>80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danjee daniel</cp:lastModifiedBy>
  <dcterms:created xsi:type="dcterms:W3CDTF">2025-02-01T03:05:08Z</dcterms:created>
  <dcterms:modified xsi:type="dcterms:W3CDTF">2026-09-24T16:57:00Z</dcterms:modified>
</cp:coreProperties>
</file>